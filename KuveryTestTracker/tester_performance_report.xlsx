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card" sheetId="1" state="visible" r:id="rId1"/>
    <sheet name="Settings" sheetId="2" state="visible" r:id="rId2"/>
    <sheet name="Case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</font>
    <font>
      <name val="Arial"/>
      <color rgb="000000FF"/>
    </font>
    <font>
      <name val="Arial"/>
      <b val="1"/>
    </font>
    <font>
      <name val="Arial"/>
      <b val="1"/>
      <sz val="16"/>
    </font>
    <font>
      <name val="Arial"/>
      <i val="1"/>
      <color rgb="00595959"/>
    </font>
    <font>
      <name val="Arial"/>
      <b val="1"/>
      <color rgb="00FFFFFF"/>
    </font>
    <font>
      <name val="Arial"/>
      <b val="1"/>
      <color rgb="00C0000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7F7F7F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4" fillId="4" borderId="0" applyAlignment="1" pivotButton="0" quotePrefix="0" xfId="0">
      <alignment horizontal="center"/>
    </xf>
    <xf numFmtId="9" fontId="4" fillId="4" borderId="0" applyAlignment="1" pivotButton="0" quotePrefix="0" xfId="0">
      <alignment horizontal="center"/>
    </xf>
    <xf numFmtId="0" fontId="8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7" fillId="2" borderId="0" applyAlignment="1" pivotButton="0" quotePrefix="0" xfId="0">
      <alignment horizontal="center" wrapText="1"/>
    </xf>
  </cellXfs>
  <cellStyles count="1">
    <cellStyle name="Normal" xfId="0" builtinId="0" hidden="0"/>
  </cellStyles>
  <dxfs count="3">
    <dxf>
      <font>
        <name val="Arial"/>
        <color rgb="00006100"/>
      </font>
      <fill>
        <patternFill patternType="solid">
          <bgColor rgb="00C6EFCE"/>
        </patternFill>
      </fill>
    </dxf>
    <dxf>
      <font>
        <name val="Arial"/>
        <color rgb="009C5700"/>
      </font>
      <fill>
        <patternFill patternType="solid">
          <bgColor rgb="00FFEB9C"/>
        </patternFill>
      </fill>
    </dxf>
    <dxf>
      <font>
        <name val="Arial"/>
        <color rgb="009C0006"/>
      </font>
      <fill>
        <patternFill patternType="solid"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3" customWidth="1" min="22" max="22"/>
    <col width="22" customWidth="1" min="23" max="23"/>
  </cols>
  <sheetData>
    <row r="1">
      <c r="A1" s="1" t="inlineStr">
        <is>
          <t>Tester Performance Report</t>
        </is>
      </c>
    </row>
    <row r="2">
      <c r="A2" s="2" t="inlineStr">
        <is>
          <t>Live tracker data  |  Generated 23 Oct 2026, 22:23</t>
        </is>
      </c>
    </row>
    <row r="4" ht="48" customHeight="1">
      <c r="A4" s="3" t="inlineStr">
        <is>
          <t>Tester</t>
        </is>
      </c>
      <c r="B4" s="3" t="inlineStr">
        <is>
          <t>Role</t>
        </is>
      </c>
      <c r="C4" s="3" t="inlineStr">
        <is>
          <t>Cases assigned</t>
        </is>
      </c>
      <c r="D4" s="3" t="inlineStr">
        <is>
          <t>Passed / Deployed</t>
        </is>
      </c>
      <c r="E4" s="3" t="inlineStr">
        <is>
          <t>In progress</t>
        </is>
      </c>
      <c r="F4" s="3" t="inlineStr">
        <is>
          <t>Not run</t>
        </is>
      </c>
      <c r="G4" s="3" t="inlineStr">
        <is>
          <t>Blocked</t>
        </is>
      </c>
      <c r="H4" s="3" t="inlineStr">
        <is>
          <t>With developer (Failed)</t>
        </is>
      </c>
      <c r="I4" s="3" t="inlineStr">
        <is>
          <t>Awaiting retest</t>
        </is>
      </c>
      <c r="J4" s="3" t="inlineStr">
        <is>
          <t>Completion rate</t>
        </is>
      </c>
      <c r="K4" s="3" t="inlineStr">
        <is>
          <t>Defects raised</t>
        </is>
      </c>
      <c r="L4" s="3" t="inlineStr">
        <is>
          <t>Cases failed 2+ times</t>
        </is>
      </c>
      <c r="M4" s="3" t="inlineStr">
        <is>
          <t>Avg retest turnaround (hrs)</t>
        </is>
      </c>
      <c r="N4" s="3" t="inlineStr">
        <is>
          <t>Fail remarks with detail</t>
        </is>
      </c>
      <c r="O4" s="3" t="inlineStr">
        <is>
          <t>Attachments uploaded</t>
        </is>
      </c>
      <c r="P4" s="3" t="inlineStr">
        <is>
          <t>Idle open cases (7+ days)</t>
        </is>
      </c>
      <c r="Q4" s="4" t="inlineStr">
        <is>
          <t>Completion pts</t>
        </is>
      </c>
      <c r="R4" s="4" t="inlineStr">
        <is>
          <t>Turnaround pts</t>
        </is>
      </c>
      <c r="S4" s="4" t="inlineStr">
        <is>
          <t>Remark pts</t>
        </is>
      </c>
      <c r="T4" s="4" t="inlineStr">
        <is>
          <t>Evidence pts</t>
        </is>
      </c>
      <c r="U4" s="4" t="inlineStr">
        <is>
          <t>Idle pts</t>
        </is>
      </c>
      <c r="V4" s="4" t="inlineStr">
        <is>
          <t>Overall score (0-100)</t>
        </is>
      </c>
      <c r="W4" s="4" t="inlineStr">
        <is>
          <t>Rating</t>
        </is>
      </c>
    </row>
    <row r="5">
      <c r="A5" s="5" t="inlineStr">
        <is>
          <t>Sam</t>
        </is>
      </c>
      <c r="B5" s="5" t="inlineStr">
        <is>
          <t>QA Engineer</t>
        </is>
      </c>
      <c r="C5" s="6" t="n">
        <v>2</v>
      </c>
      <c r="D5" s="6" t="n">
        <v>2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7">
        <f>IFERROR(D5/C5,0)</f>
        <v/>
      </c>
      <c r="K5" s="6" t="n">
        <v>0</v>
      </c>
      <c r="L5" s="6" t="n">
        <v>0</v>
      </c>
      <c r="M5" s="8" t="n"/>
      <c r="N5" s="7">
        <f>IF(K5=0,"",0/K5)</f>
        <v/>
      </c>
      <c r="O5" s="6" t="n">
        <v>0</v>
      </c>
      <c r="P5" s="6" t="n">
        <v>0</v>
      </c>
      <c r="Q5" s="9">
        <f>J5*100</f>
        <v/>
      </c>
      <c r="R5" s="9">
        <f>IF(M5="","",MAX(0,MIN(100,(Settings!$B$9-M5)/(Settings!$B$9-Settings!$B$8)*100)))</f>
        <v/>
      </c>
      <c r="S5" s="9">
        <f>IF(N5="","",N5*100)</f>
        <v/>
      </c>
      <c r="T5" s="9">
        <f>IF(K5=0,"",MIN(1,O5/K5)*100)</f>
        <v/>
      </c>
      <c r="U5" s="9">
        <f>IF((E5+F5+G5+I5)=0,"",(1-P5/(E5+F5+G5+I5))*100)</f>
        <v/>
      </c>
      <c r="V5" s="10">
        <f>IFERROR((IF(ISNUMBER(Q5),Q5*Settings!$B$3,0)+IF(ISNUMBER(R5),R5*Settings!$B$4,0)+IF(ISNUMBER(S5),S5*Settings!$B$5,0)+IF(ISNUMBER(T5),T5*Settings!$B$6,0)+IF(ISNUMBER(U5),U5*Settings!$B$7,0))/(IF(ISNUMBER(Q5),Settings!$B$3,0)+IF(ISNUMBER(R5),Settings!$B$4,0)+IF(ISNUMBER(S5),Settings!$B$5,0)+IF(ISNUMBER(T5),Settings!$B$6,0)+IF(ISNUMBER(U5),Settings!$B$7,0)),"")</f>
        <v/>
      </c>
      <c r="W5" s="11">
        <f>IF(V5="","No data",IF(V5&gt;=Settings!$B$10,"Strong",IF(V5&gt;=Settings!$B$11,"Meets expectations","Needs improvement")))</f>
        <v/>
      </c>
    </row>
    <row r="6">
      <c r="A6" s="5" t="inlineStr">
        <is>
          <t>Jordan</t>
        </is>
      </c>
      <c r="B6" s="5" t="inlineStr">
        <is>
          <t>Automation Engineer</t>
        </is>
      </c>
      <c r="C6" s="6" t="n">
        <v>2</v>
      </c>
      <c r="D6" s="6" t="n">
        <v>0</v>
      </c>
      <c r="E6" s="6" t="n">
        <v>1</v>
      </c>
      <c r="F6" s="6" t="n">
        <v>1</v>
      </c>
      <c r="G6" s="6" t="n">
        <v>0</v>
      </c>
      <c r="H6" s="6" t="n">
        <v>0</v>
      </c>
      <c r="I6" s="6" t="n">
        <v>0</v>
      </c>
      <c r="J6" s="7">
        <f>IFERROR(D6/C6,0)</f>
        <v/>
      </c>
      <c r="K6" s="6" t="n">
        <v>0</v>
      </c>
      <c r="L6" s="6" t="n">
        <v>0</v>
      </c>
      <c r="M6" s="8" t="n"/>
      <c r="N6" s="7">
        <f>IF(K6=0,"",0/K6)</f>
        <v/>
      </c>
      <c r="O6" s="6" t="n">
        <v>0</v>
      </c>
      <c r="P6" s="6" t="n">
        <v>0</v>
      </c>
      <c r="Q6" s="9">
        <f>J6*100</f>
        <v/>
      </c>
      <c r="R6" s="9">
        <f>IF(M6="","",MAX(0,MIN(100,(Settings!$B$9-M6)/(Settings!$B$9-Settings!$B$8)*100)))</f>
        <v/>
      </c>
      <c r="S6" s="9">
        <f>IF(N6="","",N6*100)</f>
        <v/>
      </c>
      <c r="T6" s="9">
        <f>IF(K6=0,"",MIN(1,O6/K6)*100)</f>
        <v/>
      </c>
      <c r="U6" s="9">
        <f>IF((E6+F6+G6+I6)=0,"",(1-P6/(E6+F6+G6+I6))*100)</f>
        <v/>
      </c>
      <c r="V6" s="10">
        <f>IFERROR((IF(ISNUMBER(Q6),Q6*Settings!$B$3,0)+IF(ISNUMBER(R6),R6*Settings!$B$4,0)+IF(ISNUMBER(S6),S6*Settings!$B$5,0)+IF(ISNUMBER(T6),T6*Settings!$B$6,0)+IF(ISNUMBER(U6),U6*Settings!$B$7,0))/(IF(ISNUMBER(Q6),Settings!$B$3,0)+IF(ISNUMBER(R6),Settings!$B$4,0)+IF(ISNUMBER(S6),Settings!$B$5,0)+IF(ISNUMBER(T6),Settings!$B$6,0)+IF(ISNUMBER(U6),Settings!$B$7,0)),"")</f>
        <v/>
      </c>
      <c r="W6" s="11">
        <f>IF(V6="","No data",IF(V6&gt;=Settings!$B$10,"Strong",IF(V6&gt;=Settings!$B$11,"Meets expectations","Needs improvement")))</f>
        <v/>
      </c>
    </row>
    <row r="7">
      <c r="A7" s="5" t="inlineStr">
        <is>
          <t>Riley</t>
        </is>
      </c>
      <c r="B7" s="5" t="inlineStr">
        <is>
          <t>QA Engineer</t>
        </is>
      </c>
      <c r="C7" s="6" t="n">
        <v>3</v>
      </c>
      <c r="D7" s="6" t="n">
        <v>1</v>
      </c>
      <c r="E7" s="6" t="n">
        <v>0</v>
      </c>
      <c r="F7" s="6" t="n">
        <v>0</v>
      </c>
      <c r="G7" s="6" t="n">
        <v>0</v>
      </c>
      <c r="H7" s="6" t="n">
        <v>1</v>
      </c>
      <c r="I7" s="6" t="n">
        <v>1</v>
      </c>
      <c r="J7" s="7">
        <f>IFERROR(D7/C7,0)</f>
        <v/>
      </c>
      <c r="K7" s="6" t="n">
        <v>4</v>
      </c>
      <c r="L7" s="6" t="n">
        <v>1</v>
      </c>
      <c r="M7" s="8" t="n">
        <v>12</v>
      </c>
      <c r="N7" s="7">
        <f>IF(K7=0,"",3/K7)</f>
        <v/>
      </c>
      <c r="O7" s="6" t="n">
        <v>0</v>
      </c>
      <c r="P7" s="6" t="n">
        <v>0</v>
      </c>
      <c r="Q7" s="9">
        <f>J7*100</f>
        <v/>
      </c>
      <c r="R7" s="9">
        <f>IF(M7="","",MAX(0,MIN(100,(Settings!$B$9-M7)/(Settings!$B$9-Settings!$B$8)*100)))</f>
        <v/>
      </c>
      <c r="S7" s="9">
        <f>IF(N7="","",N7*100)</f>
        <v/>
      </c>
      <c r="T7" s="9">
        <f>IF(K7=0,"",MIN(1,O7/K7)*100)</f>
        <v/>
      </c>
      <c r="U7" s="9">
        <f>IF((E7+F7+G7+I7)=0,"",(1-P7/(E7+F7+G7+I7))*100)</f>
        <v/>
      </c>
      <c r="V7" s="10">
        <f>IFERROR((IF(ISNUMBER(Q7),Q7*Settings!$B$3,0)+IF(ISNUMBER(R7),R7*Settings!$B$4,0)+IF(ISNUMBER(S7),S7*Settings!$B$5,0)+IF(ISNUMBER(T7),T7*Settings!$B$6,0)+IF(ISNUMBER(U7),U7*Settings!$B$7,0))/(IF(ISNUMBER(Q7),Settings!$B$3,0)+IF(ISNUMBER(R7),Settings!$B$4,0)+IF(ISNUMBER(S7),Settings!$B$5,0)+IF(ISNUMBER(T7),Settings!$B$6,0)+IF(ISNUMBER(U7),Settings!$B$7,0)),"")</f>
        <v/>
      </c>
      <c r="W7" s="11">
        <f>IF(V7="","No data",IF(V7&gt;=Settings!$B$10,"Strong",IF(V7&gt;=Settings!$B$11,"Meets expectations","Needs improvement")))</f>
        <v/>
      </c>
    </row>
    <row r="9">
      <c r="A9" s="12" t="inlineStr">
        <is>
          <t>Team total</t>
        </is>
      </c>
      <c r="C9" s="13">
        <f>SUM(C5:C7)</f>
        <v/>
      </c>
      <c r="D9" s="13">
        <f>SUM(D5:D7)</f>
        <v/>
      </c>
      <c r="E9" s="13">
        <f>SUM(E5:E7)</f>
        <v/>
      </c>
      <c r="F9" s="13">
        <f>SUM(F5:F7)</f>
        <v/>
      </c>
      <c r="G9" s="13">
        <f>SUM(G5:G7)</f>
        <v/>
      </c>
      <c r="H9" s="13">
        <f>SUM(H5:H7)</f>
        <v/>
      </c>
      <c r="I9" s="13">
        <f>SUM(I5:I7)</f>
        <v/>
      </c>
      <c r="J9" s="14">
        <f>IFERROR(D9/C9,0)</f>
        <v/>
      </c>
      <c r="K9" s="13">
        <f>SUM(K5:K7)</f>
        <v/>
      </c>
      <c r="L9" s="13">
        <f>SUM(L5:L7)</f>
        <v/>
      </c>
      <c r="O9" s="13">
        <f>SUM(O5:O7)</f>
        <v/>
      </c>
      <c r="P9" s="13">
        <f>SUM(P5:P7)</f>
        <v/>
      </c>
    </row>
    <row r="11">
      <c r="A11" s="2" t="inlineStr">
        <is>
          <t>Column guide: grey 'pts' columns are the score components (0-100). Weights and thresholds are on the Settings sheet.</t>
        </is>
      </c>
    </row>
    <row r="12">
      <c r="A12" s="15" t="inlineStr">
        <is>
          <t>Caution: fewer than 10 cases per tester - too little data for a fair comparison.</t>
        </is>
      </c>
    </row>
  </sheetData>
  <conditionalFormatting sqref="W5:W7">
    <cfRule type="cellIs" priority="1" operator="equal" dxfId="0">
      <formula>"Strong"</formula>
    </cfRule>
    <cfRule type="cellIs" priority="2" operator="equal" dxfId="1">
      <formula>"Meets expectations"</formula>
    </cfRule>
    <cfRule type="cellIs" priority="3" operator="equal" dxfId="2">
      <formula>"Needs improvement"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95" customWidth="1" min="1" max="1"/>
    <col width="10" customWidth="1" min="2" max="2"/>
  </cols>
  <sheetData>
    <row r="1">
      <c r="A1" s="16" t="inlineStr">
        <is>
          <t>Score settings (edit the blue cells; the Scorecard recalculates)</t>
        </is>
      </c>
    </row>
    <row r="3">
      <c r="A3" s="17" t="inlineStr">
        <is>
          <t>Weight: completion rate</t>
        </is>
      </c>
      <c r="B3" s="18" t="n">
        <v>40</v>
      </c>
    </row>
    <row r="4">
      <c r="A4" s="17" t="inlineStr">
        <is>
          <t>Weight: retest turnaround</t>
        </is>
      </c>
      <c r="B4" s="18" t="n">
        <v>20</v>
      </c>
    </row>
    <row r="5">
      <c r="A5" s="17" t="inlineStr">
        <is>
          <t>Weight: fail remarks with detail</t>
        </is>
      </c>
      <c r="B5" s="18" t="n">
        <v>20</v>
      </c>
    </row>
    <row r="6">
      <c r="A6" s="17" t="inlineStr">
        <is>
          <t>Weight: evidence attached</t>
        </is>
      </c>
      <c r="B6" s="18" t="n">
        <v>10</v>
      </c>
    </row>
    <row r="7">
      <c r="A7" s="17" t="inlineStr">
        <is>
          <t>Weight: no idle cases</t>
        </is>
      </c>
      <c r="B7" s="18" t="n">
        <v>10</v>
      </c>
    </row>
    <row r="8">
      <c r="A8" s="17" t="inlineStr">
        <is>
          <t>Turnaround full marks at or under (hours)</t>
        </is>
      </c>
      <c r="B8" s="18" t="n">
        <v>24</v>
      </c>
    </row>
    <row r="9">
      <c r="A9" s="17" t="inlineStr">
        <is>
          <t>Turnaround zero marks at or over (hours)</t>
        </is>
      </c>
      <c r="B9" s="18" t="n">
        <v>72</v>
      </c>
    </row>
    <row r="10">
      <c r="A10" s="17" t="inlineStr">
        <is>
          <t>Rating 'Strong' at score of</t>
        </is>
      </c>
      <c r="B10" s="18" t="n">
        <v>80</v>
      </c>
    </row>
    <row r="11">
      <c r="A11" s="17" t="inlineStr">
        <is>
          <t>Rating 'Meets expectations' at score of</t>
        </is>
      </c>
      <c r="B11" s="18" t="n">
        <v>60</v>
      </c>
    </row>
    <row r="13">
      <c r="A13" s="12" t="inlineStr">
        <is>
          <t>Notes</t>
        </is>
      </c>
    </row>
    <row r="14">
      <c r="A14" s="17" t="inlineStr">
        <is>
          <t>Completion rate = cases Passed/Deployed ÷ cases assigned to the tester.</t>
        </is>
      </c>
    </row>
    <row r="15">
      <c r="A15" s="17" t="inlineStr">
        <is>
          <t>Retest turnaround = average hours from a developer's 'Fixed' to the tester's next Pass/Fail on that case.</t>
        </is>
      </c>
    </row>
    <row r="16">
      <c r="A16" s="17" t="inlineStr">
        <is>
          <t>Fail remarks with detail = share of the tester's Fail remarks that are 30+ characters (a reproducible description).</t>
        </is>
      </c>
    </row>
    <row r="17">
      <c r="A17" s="17" t="inlineStr">
        <is>
          <t>Evidence attached = file attachments uploaded ÷ defects raised (capped at 100%).</t>
        </is>
      </c>
    </row>
    <row r="18">
      <c r="A18" s="17" t="inlineStr">
        <is>
          <t>No idle cases = share of the tester's open cases touched in the last 7 days.</t>
        </is>
      </c>
    </row>
    <row r="19">
      <c r="A19" s="17" t="inlineStr">
        <is>
          <t>Defects raised is shown for context but NOT scored: it depends on code quality and on which cases were assigned.</t>
        </is>
      </c>
    </row>
    <row r="20">
      <c r="A20" s="17" t="inlineStr">
        <is>
          <t>If a measure has no data (e.g. no retests yet) it is left out and the other weights are rescaled.</t>
        </is>
      </c>
    </row>
    <row r="21">
      <c r="A21" s="17" t="inlineStr">
        <is>
          <t>The score is a guide for discussion, not a verdict. Read it with the manager's own knowledge of case difficulty and volume.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24" customWidth="1" min="3" max="3"/>
    <col width="10" customWidth="1" min="4" max="4"/>
    <col width="14" customWidth="1" min="5" max="5"/>
    <col width="14" customWidth="1" min="6" max="6"/>
    <col width="14" customWidth="1" min="7" max="7"/>
    <col width="10" customWidth="1" min="8" max="8"/>
    <col width="14" customWidth="1" min="9" max="9"/>
    <col width="12" customWidth="1" min="10" max="10"/>
  </cols>
  <sheetData>
    <row r="1">
      <c r="A1" s="19" t="inlineStr">
        <is>
          <t>Test ID</t>
        </is>
      </c>
      <c r="B1" s="19" t="inlineStr">
        <is>
          <t>Description</t>
        </is>
      </c>
      <c r="C1" s="19" t="inlineStr">
        <is>
          <t>Screen</t>
        </is>
      </c>
      <c r="D1" s="19" t="inlineStr">
        <is>
          <t>Priority</t>
        </is>
      </c>
      <c r="E1" s="19" t="inlineStr">
        <is>
          <t>Tester</t>
        </is>
      </c>
      <c r="F1" s="19" t="inlineStr">
        <is>
          <t>Developer</t>
        </is>
      </c>
      <c r="G1" s="19" t="inlineStr">
        <is>
          <t>Status</t>
        </is>
      </c>
      <c r="H1" s="19" t="inlineStr">
        <is>
          <t>Fail count</t>
        </is>
      </c>
      <c r="I1" s="19" t="inlineStr">
        <is>
          <t>Last updated</t>
        </is>
      </c>
      <c r="J1" s="19" t="inlineStr">
        <is>
          <t>Days since update</t>
        </is>
      </c>
    </row>
    <row r="2">
      <c r="A2" s="17" t="inlineStr">
        <is>
          <t>TC-101</t>
        </is>
      </c>
      <c r="B2" s="17" t="inlineStr">
        <is>
          <t>Log in with valid credentials</t>
        </is>
      </c>
      <c r="C2" s="17" t="inlineStr">
        <is>
          <t>Login Screen</t>
        </is>
      </c>
      <c r="D2" s="17" t="inlineStr">
        <is>
          <t>High</t>
        </is>
      </c>
      <c r="E2" s="17" t="inlineStr">
        <is>
          <t>Sam</t>
        </is>
      </c>
      <c r="F2" s="17" t="inlineStr">
        <is>
          <t>Priya</t>
        </is>
      </c>
      <c r="G2" s="17" t="inlineStr">
        <is>
          <t>Passed</t>
        </is>
      </c>
      <c r="H2" s="17" t="n">
        <v>0</v>
      </c>
      <c r="I2" s="17" t="inlineStr">
        <is>
          <t>23/10/2026</t>
        </is>
      </c>
      <c r="J2" s="17" t="n">
        <v>0</v>
      </c>
    </row>
    <row r="3">
      <c r="A3" s="17" t="inlineStr">
        <is>
          <t>TC-102</t>
        </is>
      </c>
      <c r="B3" s="17" t="inlineStr">
        <is>
          <t>Reject wrong password</t>
        </is>
      </c>
      <c r="C3" s="17" t="inlineStr">
        <is>
          <t>Login Screen</t>
        </is>
      </c>
      <c r="D3" s="17" t="inlineStr">
        <is>
          <t>High</t>
        </is>
      </c>
      <c r="E3" s="17" t="inlineStr">
        <is>
          <t>Sam</t>
        </is>
      </c>
      <c r="F3" s="17" t="inlineStr">
        <is>
          <t>Priya</t>
        </is>
      </c>
      <c r="G3" s="17" t="inlineStr">
        <is>
          <t>Passed</t>
        </is>
      </c>
      <c r="H3" s="17" t="n">
        <v>0</v>
      </c>
      <c r="I3" s="17" t="inlineStr">
        <is>
          <t>23/10/2026</t>
        </is>
      </c>
      <c r="J3" s="17" t="n">
        <v>0</v>
      </c>
    </row>
    <row r="4">
      <c r="A4" s="17" t="inlineStr">
        <is>
          <t>TC-103</t>
        </is>
      </c>
      <c r="B4" s="17" t="inlineStr">
        <is>
          <t>Reset password by email</t>
        </is>
      </c>
      <c r="C4" s="17" t="inlineStr">
        <is>
          <t>Forgot Password Screen</t>
        </is>
      </c>
      <c r="D4" s="17" t="inlineStr">
        <is>
          <t>Medium</t>
        </is>
      </c>
      <c r="E4" s="17" t="inlineStr">
        <is>
          <t>Riley</t>
        </is>
      </c>
      <c r="F4" s="17" t="inlineStr">
        <is>
          <t>Priya</t>
        </is>
      </c>
      <c r="G4" s="17" t="inlineStr">
        <is>
          <t>Failed</t>
        </is>
      </c>
      <c r="H4" s="17" t="n">
        <v>1</v>
      </c>
      <c r="I4" s="17" t="inlineStr">
        <is>
          <t>23/10/2026</t>
        </is>
      </c>
      <c r="J4" s="17" t="n">
        <v>0</v>
      </c>
    </row>
    <row r="5">
      <c r="A5" s="17" t="inlineStr">
        <is>
          <t>TC-104</t>
        </is>
      </c>
      <c r="B5" s="17" t="inlineStr">
        <is>
          <t>Add item to cart</t>
        </is>
      </c>
      <c r="C5" s="17" t="inlineStr">
        <is>
          <t>Cart Screen</t>
        </is>
      </c>
      <c r="D5" s="17" t="inlineStr">
        <is>
          <t>High</t>
        </is>
      </c>
      <c r="E5" s="17" t="inlineStr">
        <is>
          <t>Jordan</t>
        </is>
      </c>
      <c r="F5" s="17" t="inlineStr">
        <is>
          <t>Chen</t>
        </is>
      </c>
      <c r="G5" s="17" t="inlineStr">
        <is>
          <t>In progress</t>
        </is>
      </c>
      <c r="H5" s="17" t="n">
        <v>0</v>
      </c>
      <c r="I5" s="17" t="inlineStr">
        <is>
          <t>23/10/2026</t>
        </is>
      </c>
      <c r="J5" s="17" t="n">
        <v>0</v>
      </c>
    </row>
    <row r="6">
      <c r="A6" s="17" t="inlineStr">
        <is>
          <t>TC-105</t>
        </is>
      </c>
      <c r="B6" s="17" t="inlineStr">
        <is>
          <t>Apply discount code</t>
        </is>
      </c>
      <c r="C6" s="17" t="inlineStr">
        <is>
          <t>Cart Screen</t>
        </is>
      </c>
      <c r="D6" s="17" t="inlineStr">
        <is>
          <t>Medium</t>
        </is>
      </c>
      <c r="E6" s="17" t="inlineStr">
        <is>
          <t>Riley</t>
        </is>
      </c>
      <c r="F6" s="17" t="inlineStr">
        <is>
          <t>Chen</t>
        </is>
      </c>
      <c r="G6" s="17" t="inlineStr">
        <is>
          <t>Fixed</t>
        </is>
      </c>
      <c r="H6" s="17" t="n">
        <v>2</v>
      </c>
      <c r="I6" s="17" t="inlineStr">
        <is>
          <t>23/10/2026</t>
        </is>
      </c>
      <c r="J6" s="17" t="n">
        <v>0</v>
      </c>
    </row>
    <row r="7">
      <c r="A7" s="17" t="inlineStr">
        <is>
          <t>TC-106</t>
        </is>
      </c>
      <c r="B7" s="17" t="inlineStr">
        <is>
          <t>Pay with saved card</t>
        </is>
      </c>
      <c r="C7" s="17" t="inlineStr">
        <is>
          <t>Payment Screen</t>
        </is>
      </c>
      <c r="D7" s="17" t="inlineStr">
        <is>
          <t>High</t>
        </is>
      </c>
      <c r="E7" s="17" t="inlineStr">
        <is>
          <t>Jordan</t>
        </is>
      </c>
      <c r="F7" s="17" t="inlineStr">
        <is>
          <t>Chen</t>
        </is>
      </c>
      <c r="G7" s="17" t="inlineStr">
        <is>
          <t>Not run</t>
        </is>
      </c>
      <c r="H7" s="17" t="n">
        <v>0</v>
      </c>
      <c r="I7" s="17" t="inlineStr">
        <is>
          <t>23/10/2026</t>
        </is>
      </c>
      <c r="J7" s="17" t="n">
        <v>0</v>
      </c>
    </row>
    <row r="8">
      <c r="A8" s="17" t="inlineStr">
        <is>
          <t>TC-107</t>
        </is>
      </c>
      <c r="B8" s="17" t="inlineStr">
        <is>
          <t>Export report as CSV</t>
        </is>
      </c>
      <c r="C8" s="17" t="inlineStr">
        <is>
          <t>Reports Screen</t>
        </is>
      </c>
      <c r="D8" s="17" t="inlineStr">
        <is>
          <t>Low</t>
        </is>
      </c>
      <c r="E8" s="17" t="inlineStr">
        <is>
          <t>Unassigned</t>
        </is>
      </c>
      <c r="F8" s="17" t="inlineStr">
        <is>
          <t>Unassigned</t>
        </is>
      </c>
      <c r="G8" s="17" t="inlineStr">
        <is>
          <t>Not run</t>
        </is>
      </c>
      <c r="H8" s="17" t="n">
        <v>0</v>
      </c>
      <c r="I8" s="17" t="inlineStr">
        <is>
          <t>23/10/2026</t>
        </is>
      </c>
      <c r="J8" s="17" t="n">
        <v>0</v>
      </c>
    </row>
    <row r="9">
      <c r="A9" s="17" t="inlineStr">
        <is>
          <t>TC-108</t>
        </is>
      </c>
      <c r="B9" s="17" t="inlineStr">
        <is>
          <t>v1</t>
        </is>
      </c>
      <c r="C9" s="17" t="inlineStr">
        <is>
          <t>Doctor screen</t>
        </is>
      </c>
      <c r="D9" s="17" t="inlineStr">
        <is>
          <t>Medium</t>
        </is>
      </c>
      <c r="E9" s="17" t="inlineStr">
        <is>
          <t>Riley</t>
        </is>
      </c>
      <c r="F9" s="17" t="inlineStr">
        <is>
          <t>Priya</t>
        </is>
      </c>
      <c r="G9" s="17" t="inlineStr">
        <is>
          <t>Passed</t>
        </is>
      </c>
      <c r="H9" s="17" t="n">
        <v>1</v>
      </c>
      <c r="I9" s="17" t="inlineStr">
        <is>
          <t>23/10/2026</t>
        </is>
      </c>
      <c r="J9" s="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2026-10-23T16:53:58Z</dcterms:created>
  <dcterms:modified xsi:type="dcterms:W3CDTF">2026-10-23T16:53:58Z</dcterms:modified>
</cp:coreProperties>
</file>